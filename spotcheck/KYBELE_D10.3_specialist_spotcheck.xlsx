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drawing1.xml" ContentType="application/vnd.openxmlformats-officedocument.drawing+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Instructions" sheetId="1" state="visible" r:id="rId3"/>
    <sheet name="Spot-check" sheetId="2" state="visible" r:id="rId4"/>
    <sheet name="Summary" sheetId="3" state="visible" r:id="rId5"/>
  </sheets>
  <definedNames>
    <definedName function="false" hidden="false" localSheetId="1" name="_xlnm.Print_Titles" vbProcedure="false">'Spot-check'!$1:$1</definedName>
    <definedName function="false" hidden="true" localSheetId="1" name="_xlnm._FilterDatabase" vbProcedure="false">'Spot-check'!$A$1:$K$26</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I1" authorId="0">
      <text>
        <r>
          <rPr>
            <sz val="10"/>
            <rFont val="Arial"/>
            <family val="2"/>
          </rPr>
          <t xml:space="preserve">Pick from the drop-down: Correct, Partly correct, Wrong, Cannot judge</t>
        </r>
      </text>
    </comment>
  </commentList>
</comments>
</file>

<file path=xl/sharedStrings.xml><?xml version="1.0" encoding="utf-8"?>
<sst xmlns="http://schemas.openxmlformats.org/spreadsheetml/2006/main" count="233" uniqueCount="174">
  <si>
    <t xml:space="preserve">KYBELE D10.3 - specialist spot-check of the Collembola trait benchmark</t>
  </si>
  <si>
    <t xml:space="preserve">Purpose</t>
  </si>
  <si>
    <t xml:space="preserve">The benchmark has 126 questions on body size, habitat and trophic guild, each with a gold answer taken from a Plazi taxonomic treatment. The gold answers were checked with AI assistance. This sheet asks a Collembola specialist to check a random sample of 25, so the deliverable can report expert agreement.</t>
  </si>
  <si>
    <t xml:space="preserve">What to check</t>
  </si>
  <si>
    <t xml:space="preserve">For each row, is the gold answer what the treatment states for this species? The passage column shows the text around the answer (answer in bold); open the Plazi link if the passage is not enough.</t>
  </si>
  <si>
    <t xml:space="preserve">Where to write</t>
  </si>
  <si>
    <t xml:space="preserve">Only the yellow columns on the 'Spot-check' sheet: Verdict (drop-down), Correct answer (if different) and Comment. The 'Summary' sheet counts the verdicts by itself.</t>
  </si>
  <si>
    <t xml:space="preserve">Gold answer format</t>
  </si>
  <si>
    <t xml:space="preserve">Alternatives that are all acceptable are separated by '||', e.g. '0.88 mm || up to 0.88 mm'. Body sizes are body length in mm.</t>
  </si>
  <si>
    <t xml:space="preserve">Correct</t>
  </si>
  <si>
    <t xml:space="preserve">The gold answer states what the treatment says about this species (all alternatives are fine).</t>
  </si>
  <si>
    <t xml:space="preserve">Partly correct</t>
  </si>
  <si>
    <t xml:space="preserve">Right but incomplete or too broad, e.g. only one of two habitats, or a size range where the treatment gives separate male and female values.</t>
  </si>
  <si>
    <t xml:space="preserve">Wrong</t>
  </si>
  <si>
    <t xml:space="preserve">The treatment says something else, or the answer belongs to another taxon, life stage or measurement (e.g. antenna length instead of body length), or a habitat answer is only a place.</t>
  </si>
  <si>
    <t xml:space="preserve">Cannot judge</t>
  </si>
  <si>
    <t xml:space="preserve">The treatment does not let you decide.</t>
  </si>
  <si>
    <t xml:space="preserve">Sample</t>
  </si>
  <si>
    <t xml:space="preserve">Stratified random draw, proportional to the benchmark: 12 body size, 12 habitat, 1 trophic guild (seed 20260928; scripts/make_spotcheck.py). Trophic guilds get their own spot-check on the separate trophic benchmark.</t>
  </si>
  <si>
    <t xml:space="preserve">Time needed</t>
  </si>
  <si>
    <t xml:space="preserve">About 1-2 minutes per row, 30-50 minutes in total.</t>
  </si>
  <si>
    <t xml:space="preserve">Reviewer</t>
  </si>
  <si>
    <t xml:space="preserve">Date</t>
  </si>
  <si>
    <t xml:space="preserve">Example of a filled row (not part of the sample)</t>
  </si>
  <si>
    <t xml:space="preserve">Gold answer</t>
  </si>
  <si>
    <t xml:space="preserve">1.2 mm || up to 1.2 mm</t>
  </si>
  <si>
    <t xml:space="preserve">Verdict</t>
  </si>
  <si>
    <t xml:space="preserve">Correct answer (if different)</t>
  </si>
  <si>
    <t xml:space="preserve">1.2 mm (female), 0.9 mm (male)</t>
  </si>
  <si>
    <t xml:space="preserve">Comment</t>
  </si>
  <si>
    <t xml:space="preserve">The treatment gives separate values for the two sexes.</t>
  </si>
  <si>
    <t xml:space="preserve">#</t>
  </si>
  <si>
    <t xml:space="preserve">QID</t>
  </si>
  <si>
    <t xml:space="preserve">Trait</t>
  </si>
  <si>
    <t xml:space="preserve">Species</t>
  </si>
  <si>
    <t xml:space="preserve">Question</t>
  </si>
  <si>
    <t xml:space="preserve">Passage from the treatment (gold answer in bold)</t>
  </si>
  <si>
    <t xml:space="preserve">Plazi treatment</t>
  </si>
  <si>
    <t xml:space="preserve">K007</t>
  </si>
  <si>
    <t xml:space="preserve">Habitat</t>
  </si>
  <si>
    <t xml:space="preserve">Plutomurus ruseki</t>
  </si>
  <si>
    <t xml:space="preserve">What is the habitat of Plutomurus ruseki?</t>
  </si>
  <si>
    <t xml:space="preserve">entrance and twilight zone of caves  ||  caves  ||  troglophilous</t>
  </si>
  <si>
    <r>
      <rPr>
        <sz val="10"/>
        <rFont val="Arial"/>
        <family val="0"/>
        <charset val="1"/>
      </rPr>
      <t xml:space="preserve">… Institute of Soil Biology, České Budějovice, Czech Republic), an outstanding Collembola taxonomist and ecologist, and Ph.D. supervisor and a great colleague of the last author. Ecology. It is a troglophilous species, considering the presence of pigmented body and 6+6 eyes. It lives mostly in </t>
    </r>
    <r>
      <rPr>
        <b val="true"/>
        <sz val="10"/>
        <rFont val="Arial"/>
        <family val="0"/>
        <charset val="1"/>
      </rPr>
      <t xml:space="preserve">entrance and twilight zone of caves</t>
    </r>
    <r>
      <rPr>
        <sz val="10"/>
        <rFont val="Arial"/>
        <family val="0"/>
        <charset val="1"/>
      </rPr>
      <t xml:space="preserve">, in several cases it was found to occupy even dark cave zone. It was also found to occupy forest soils and mosses. Distribution. This species is distributed in different karst regions of the Western Carpathians, Slovakia, with exception of the Pieniny Mountains. A Plutomurus specimen with 3 Mc on …</t>
    </r>
  </si>
  <si>
    <t xml:space="preserve">Open treatment</t>
  </si>
  <si>
    <t xml:space="preserve">K011</t>
  </si>
  <si>
    <t xml:space="preserve">Body size</t>
  </si>
  <si>
    <t xml:space="preserve">Metacoelura majeri</t>
  </si>
  <si>
    <t xml:space="preserve">What is the body length of Metacoelura majeri?</t>
  </si>
  <si>
    <t xml:space="preserve">2.3 mm  ||  up to 2.3 mm</t>
  </si>
  <si>
    <r>
      <rPr>
        <sz val="10"/>
        <rFont val="Arial"/>
        <family val="0"/>
        <charset val="1"/>
      </rPr>
      <t xml:space="preserve">Description. Body length </t>
    </r>
    <r>
      <rPr>
        <b val="true"/>
        <sz val="10"/>
        <rFont val="Arial"/>
        <family val="0"/>
        <charset val="1"/>
      </rPr>
      <t xml:space="preserve">up to 2.3 mm</t>
    </r>
    <r>
      <rPr>
        <sz val="10"/>
        <rFont val="Arial"/>
        <family val="0"/>
        <charset val="1"/>
      </rPr>
      <t xml:space="preserve">. Ant. I and proximal part of Ant. II blue, Ant. III &amp; IV white. Eye patches dark blue and narrow blue stripe present anteriorly between eye patches. Two irregular medial longitudinal stripes present from Th. II to Abd. IV. Tibiotarsus with slight blue pigment; furcula white (Figs 5−6, 27). …</t>
    </r>
  </si>
  <si>
    <t xml:space="preserve">K019</t>
  </si>
  <si>
    <t xml:space="preserve">Cyphoderus khaochakanus</t>
  </si>
  <si>
    <t xml:space="preserve">What is the habitat of Cyphoderus khaochakanus?</t>
  </si>
  <si>
    <t xml:space="preserve">on guano in the dark zone of a karstic cave  ||  guano in the dark zone of a karstic cave  ||  guano</t>
  </si>
  <si>
    <r>
      <rPr>
        <sz val="10"/>
        <rFont val="Arial"/>
        <family val="0"/>
        <charset val="1"/>
      </rPr>
      <t xml:space="preserve">ZC2011.SAK-001H, male). Body Ant Head Ant.I Ant.II Ant.III Ant.IV Th.II Th.III Abd.I Abd.II Abd.III Abd.IV Abd.V Abd.VI Man Dens Mucro Etymology. From the locality "Khao Chakan" district, in SaKaeo province, where this species is found. Distribution. Only known from type locality. Ecology. Abundant </t>
    </r>
    <r>
      <rPr>
        <b val="true"/>
        <sz val="10"/>
        <rFont val="Arial"/>
        <family val="0"/>
        <charset val="1"/>
      </rPr>
      <t xml:space="preserve">on guano in the dark zone of a karstic cave</t>
    </r>
    <r>
      <rPr>
        <sz val="10"/>
        <rFont val="Arial"/>
        <family val="0"/>
        <charset val="1"/>
      </rPr>
      <t xml:space="preserve">.</t>
    </r>
  </si>
  <si>
    <t xml:space="preserve">K029</t>
  </si>
  <si>
    <t xml:space="preserve">Friesea najtae</t>
  </si>
  <si>
    <t xml:space="preserve">What is the body length of Friesea najtae?</t>
  </si>
  <si>
    <t xml:space="preserve">1.0- 1.7mm  ||  1.0-1.7 mm  ||  1.0–1.7 mm</t>
  </si>
  <si>
    <r>
      <rPr>
        <sz val="10"/>
        <rFont val="Arial"/>
        <family val="0"/>
        <charset val="1"/>
      </rPr>
      <t xml:space="preserve">… friend of Wanda Weiner. The new species is named in her honour. DESCRIPTION General habitus Large animal for the genus, habitus with strong head with diverging antennae shorter than head length and a large abdo- men in midline (Abd. III-IV), ending by a pointed Abd. VI (Figs 2, 3). Body length: </t>
    </r>
    <r>
      <rPr>
        <b val="true"/>
        <sz val="10"/>
        <rFont val="Arial"/>
        <family val="0"/>
        <charset val="1"/>
      </rPr>
      <t xml:space="preserve">1.0- 1.7mm</t>
    </r>
    <r>
      <rPr>
        <sz val="10"/>
        <rFont val="Arial"/>
        <family val="0"/>
        <charset val="1"/>
      </rPr>
      <t xml:space="preserve">. Body colour dark blue, almost black (Fig. 2), slightly lighter on the ventral side with inner sides of ventral tube and furcula tip almost white. Dorsal clothing strong, with long and pointed ordinary chaetae as well as shorter chaetae, slightly crenulated (macro-, meso- and microchaetae; Fig. …</t>
    </r>
  </si>
  <si>
    <t xml:space="preserve">K072</t>
  </si>
  <si>
    <t xml:space="preserve">Szeptyckitheca cyanea</t>
  </si>
  <si>
    <t xml:space="preserve">What is the habitat of Szeptyckitheca cyanea?</t>
  </si>
  <si>
    <t xml:space="preserve">forest litter covering sandy soils in shady areas  ||  forest litter  ||  Atlantic Forest</t>
  </si>
  <si>
    <r>
      <rPr>
        <sz val="10"/>
        <rFont val="Arial"/>
        <family val="0"/>
        <charset val="1"/>
      </rPr>
      <t xml:space="preserve">… Brazil: in the central campus of the Federal University of Rio Grande do Norte, Natal municipality, and the National Forest of Nisia Floresta, Nisia Floresta municipality (Fig. 6). Both localities are inserted in the Atlantic Forest phytogeographic domain. The specimens were collected from the </t>
    </r>
    <r>
      <rPr>
        <b val="true"/>
        <sz val="10"/>
        <rFont val="Arial"/>
        <family val="0"/>
        <charset val="1"/>
      </rPr>
      <t xml:space="preserve">forest litter covering sandy soils in shady areas</t>
    </r>
    <r>
      <rPr>
        <sz val="10"/>
        <rFont val="Arial"/>
        <family val="0"/>
        <charset val="1"/>
      </rPr>
      <t xml:space="preserve">. The climate of the sampled municipalities is "As" following the Koeppen-Geiger system, which means an equatorial climate with dry summer (Kottek et al. 2006). The specimens were collected during the raining season of 2022. Remarks. Szeptyckitheca cyanea sp. nov. is the sole species of the genus …</t>
    </r>
  </si>
  <si>
    <t xml:space="preserve">K074</t>
  </si>
  <si>
    <t xml:space="preserve">Dicranocentrus icelosmarias</t>
  </si>
  <si>
    <t xml:space="preserve">What is the body length of Dicranocentrus icelosmarias?</t>
  </si>
  <si>
    <t xml:space="preserve">2.6 mm</t>
  </si>
  <si>
    <r>
      <rPr>
        <sz val="10"/>
        <rFont val="Arial"/>
        <family val="0"/>
        <charset val="1"/>
      </rPr>
      <t xml:space="preserve">… 1–12) DESCRIPTION Size. Largest specimen (holotype) </t>
    </r>
    <r>
      <rPr>
        <b val="true"/>
        <sz val="10"/>
        <rFont val="Arial"/>
        <family val="0"/>
        <charset val="1"/>
      </rPr>
      <t xml:space="preserve">2.6 mm</t>
    </r>
    <r>
      <rPr>
        <sz val="10"/>
        <rFont val="Arial"/>
        <family val="0"/>
        <charset val="1"/>
      </rPr>
      <t xml:space="preserve">. Color. Background color greenish white or orange. Scale Distribution. Antennal segments 1 to 3, head, body, legs to tibiotarsus, collophore scales only on posterior face, and ventral face of furcula. Head. Antennae missing 2 apical segments. Eyes apparently 6+6, but actual number and relative …</t>
    </r>
  </si>
  <si>
    <t xml:space="preserve">K091</t>
  </si>
  <si>
    <t xml:space="preserve">Metaphorura riozoi</t>
  </si>
  <si>
    <t xml:space="preserve">What is the habitat of Metaphorura riozoi?</t>
  </si>
  <si>
    <t xml:space="preserve">the soil of a meadow in Hungary  ||  soil of a meadow  ||  leaf litter under oak trees</t>
  </si>
  <si>
    <r>
      <rPr>
        <sz val="10"/>
        <rFont val="Arial"/>
        <family val="0"/>
        <charset val="1"/>
      </rPr>
      <t xml:space="preserve">… University (33°45′6.806″N, 46°22′49.648″E, alt. 1395 m) , Ilam, September 2015; soil and leaf litter under oak trees ( Quercus brantii ), Gachan Mountain (33°38′43.08″N, 46°29′9.96″E, alt. 2330 m) , Ilam, July 2014, leg. M. Mirab-Balou . Ecology: The species was recorded for the first time from </t>
    </r>
    <r>
      <rPr>
        <b val="true"/>
        <sz val="10"/>
        <rFont val="Arial"/>
        <family val="0"/>
        <charset val="1"/>
      </rPr>
      <t xml:space="preserve">the soil of a meadow in Hungary</t>
    </r>
    <r>
      <rPr>
        <sz val="10"/>
        <rFont val="Arial"/>
        <family val="0"/>
        <charset val="1"/>
      </rPr>
      <t xml:space="preserve"> (Castano-Meneses et al., 2000), and no information about its ecology is available. Distribution: Central Europe, Hungary (Castano-Meneses et al., 2000; Dunger and Schlitt, 2011).</t>
    </r>
  </si>
  <si>
    <t xml:space="preserve">K113</t>
  </si>
  <si>
    <t xml:space="preserve">Neorganella rotundatae</t>
  </si>
  <si>
    <t xml:space="preserve">What is the body length of Neorganella rotundatae?</t>
  </si>
  <si>
    <t xml:space="preserve">0.88 mm  ||  0.47-1.20 mm</t>
  </si>
  <si>
    <r>
      <rPr>
        <sz val="10"/>
        <rFont val="Arial"/>
        <family val="0"/>
        <charset val="1"/>
      </rPr>
      <t xml:space="preserve">… G.C. leg, 25.x.2011, 22°22'59"S, 44°40'1"W. Type locality. Brasil, Rio de Janeiro: Itatiaia municipality, Parque Nacional de Itatiaia (ICMBio), 22°22'59"S, 44°40'1"W, leaf litter and soil of "campos de altitude", 2,400 m a.s.l. Description. Habitus typical of the family. Body length of holotype: 0.88 mm; body length range of paratypes: </t>
    </r>
    <r>
      <rPr>
        <b val="true"/>
        <sz val="10"/>
        <rFont val="Arial"/>
        <family val="0"/>
        <charset val="1"/>
      </rPr>
      <t xml:space="preserve">0.47-1.20 mm</t>
    </r>
    <r>
      <rPr>
        <sz val="10"/>
        <rFont val="Arial"/>
        <family val="0"/>
        <charset val="1"/>
      </rPr>
      <t xml:space="preserve">. Color in ethanol: white, no pigmentation. Ratio head diagonal: antenna = 1:0.63. Ant I with 7-8 chaetae. Ant II with 12 chaetae. Ant III and IV fused dorsally, ventral separation marked. Sensory organ of Ant III with two small club-shaped sensilla, …</t>
    </r>
  </si>
  <si>
    <t xml:space="preserve">K124</t>
  </si>
  <si>
    <t xml:space="preserve">Mexicaphorura guerrerensis</t>
  </si>
  <si>
    <t xml:space="preserve">What is the habitat of Mexicaphorura guerrerensis?</t>
  </si>
  <si>
    <t xml:space="preserve">marine littoral sand</t>
  </si>
  <si>
    <r>
      <rPr>
        <sz val="10"/>
        <rFont val="Arial"/>
        <family val="0"/>
        <charset val="1"/>
      </rPr>
      <t xml:space="preserve">… their bases (Fig. 4). Ratio anal spine:ungues: 1:1.9. row Thorax Abdomen I II III I II III IV V * * ** ** ** Etymology. The species is named after the State of Guerrero, where it was found. Distribution. Known only from the type locality, at Guerrero State, Mexico. Ecology. This species lives in </t>
    </r>
    <r>
      <rPr>
        <b val="true"/>
        <sz val="10"/>
        <rFont val="Arial"/>
        <family val="0"/>
        <charset val="1"/>
      </rPr>
      <t xml:space="preserve">marine littoral sand</t>
    </r>
    <r>
      <rPr>
        <sz val="10"/>
        <rFont val="Arial"/>
        <family val="0"/>
        <charset val="1"/>
      </rPr>
      <t xml:space="preserve">.The first specimen was obtained in the floating foam of samples of sand taken from a nest of the Golf turtle Lepidochelys olivacea ( Cheloniidae ). Other specimens were obtained from 12 different places where 4 samples of sand were taken at each and washed. It seems to be very rare species as …</t>
    </r>
  </si>
  <si>
    <t xml:space="preserve">K135</t>
  </si>
  <si>
    <t xml:space="preserve">Arrhopalites harveyi</t>
  </si>
  <si>
    <t xml:space="preserve">What is the body length of Arrhopalites harveyi?</t>
  </si>
  <si>
    <t xml:space="preserve">1.2 mm</t>
  </si>
  <si>
    <r>
      <rPr>
        <sz val="10"/>
        <rFont val="Arial"/>
        <family val="0"/>
        <charset val="1"/>
      </rPr>
      <t xml:space="preserve">Type locality: Costa Rica, Santa Rosa, Serrin Viejo. (Fig. 13 A –K) Caecus ­group. Total length, </t>
    </r>
    <r>
      <rPr>
        <b val="true"/>
        <sz val="10"/>
        <rFont val="Arial"/>
        <family val="0"/>
        <charset val="1"/>
      </rPr>
      <t xml:space="preserve">1.2 mm</t>
    </r>
    <r>
      <rPr>
        <sz val="10"/>
        <rFont val="Arial"/>
        <family val="0"/>
        <charset val="1"/>
      </rPr>
      <t xml:space="preserve">. Color white, eyes 1+1. Posterior cephalic spinelike setae present. Ant. III not swollen basally. Ant. IV divided into 6 ringed subsegments. All ungues with inner tooth, all unguiculi with clear corner tooth, apical filament absent in the third unguiculus. Dental chaetotaxy as shown in table 3, …</t>
    </r>
  </si>
  <si>
    <t xml:space="preserve">K154</t>
  </si>
  <si>
    <t xml:space="preserve">Arrhopalites colchicus</t>
  </si>
  <si>
    <t xml:space="preserve">What is the body length of Arrhopalites colchicus?</t>
  </si>
  <si>
    <t xml:space="preserve">0.9 mm</t>
  </si>
  <si>
    <r>
      <rPr>
        <sz val="10"/>
        <rFont val="Arial"/>
        <family val="0"/>
        <charset val="1"/>
      </rPr>
      <t xml:space="preserve">Figs 3–7, Tables 1–3 http://zoobank.org/ urn:lsid:zoobank.org:act: 9240E584-5369-4C49-95E5-AFFF827113AC Diagnosis (female). Body unpigmented, </t>
    </r>
    <r>
      <rPr>
        <b val="true"/>
        <sz val="10"/>
        <rFont val="Arial"/>
        <family val="0"/>
        <charset val="1"/>
      </rPr>
      <t xml:space="preserve">0.9 mm</t>
    </r>
    <r>
      <rPr>
        <sz val="10"/>
        <rFont val="Arial"/>
        <family val="0"/>
        <charset val="1"/>
      </rPr>
      <t xml:space="preserve"> long. Eyes not detectable. Setae of head dorsum slender, 3 axial present. Antenna about 2× of head; Ant III with well-developed sense organ; Ant IV subdivided into 6 subsegments weakly separated from each other by 1–3 annuli, with 14 whorls of setae. Trochanter I, II and III with 4, 4, 5 setae. …</t>
    </r>
  </si>
  <si>
    <t xml:space="preserve">K162</t>
  </si>
  <si>
    <t xml:space="preserve">Megalothorax sanctistephani</t>
  </si>
  <si>
    <t xml:space="preserve">What is the body length of Megalothorax sanctistephani?</t>
  </si>
  <si>
    <t xml:space="preserve">0.2–0.34 mm  ||  0.2-0.34 mm  ||  0.26 mm</t>
  </si>
  <si>
    <r>
      <rPr>
        <sz val="10"/>
        <rFont val="Arial"/>
        <family val="0"/>
        <charset val="1"/>
      </rPr>
      <t xml:space="preserve">16S mtDNA [PQ900094, PQ900415, PQ900095], same collection data as above RUSSIA. One individual sequenced for near-complete n-rDNA operon sequence [PQ900093], same collection data as above. Redescription. General aspect. Habitus and segmentation typical of the genus (Fig. 10A, B). Body length around </t>
    </r>
    <r>
      <rPr>
        <b val="true"/>
        <sz val="10"/>
        <rFont val="Arial"/>
        <family val="0"/>
        <charset val="1"/>
      </rPr>
      <t xml:space="preserve">0.2–0.34 mm</t>
    </r>
    <r>
      <rPr>
        <sz val="10"/>
        <rFont val="Arial"/>
        <family val="0"/>
        <charset val="1"/>
      </rPr>
      <t xml:space="preserve"> (biggest Russian individual found: 0.26 mm). Specimens whitish in alcohol. Body chaetotaxy sparse including chaetae, s-chaetae, trichobothria (Fig. 12C), neosminthuroid chaetae, wax-rods and inner sensilla within sensory fields 2–6. Body chaetae ordinary, without any remarkable development (Figs …</t>
    </r>
  </si>
  <si>
    <t xml:space="preserve">K170</t>
  </si>
  <si>
    <t xml:space="preserve">Heteraphorura iranica</t>
  </si>
  <si>
    <t xml:space="preserve">What is the body length of Heteraphorura iranica?</t>
  </si>
  <si>
    <t xml:space="preserve">1.2–1.7 mm  ||  1.5–2.3 mm  ||  1.2 mm</t>
  </si>
  <si>
    <r>
      <rPr>
        <sz val="10"/>
        <rFont val="Arial"/>
        <family val="0"/>
        <charset val="1"/>
      </rPr>
      <t xml:space="preserve">… teeth and inner tooth. Empodial appendage without basal lamella, its length equal to 0.60–0.65 of inner edge of claw. MVO present on Abd. sternum IV, consists of 25–40 thick chaetae, located closely together in integumentary pocket. Description. Color white. Body length without antennae: males </t>
    </r>
    <r>
      <rPr>
        <b val="true"/>
        <sz val="10"/>
        <rFont val="Arial"/>
        <family val="0"/>
        <charset val="1"/>
      </rPr>
      <t xml:space="preserve">1.2–1.7 mm</t>
    </r>
    <r>
      <rPr>
        <sz val="10"/>
        <rFont val="Arial"/>
        <family val="0"/>
        <charset val="1"/>
      </rPr>
      <t xml:space="preserve"> (holotype – 1.2 mm), females 1.5–2.3 mm. Shape of body (Fig. 1) and granulation typical of genus. Usually with 11–13 granules around each pso. Antennae distinctly shorter than head (ratio 0.6–0.7). AIIIO organ consists of 5 conical papillae; 2 sensory rods; 2 spherical, finely granulated sensory …</t>
    </r>
  </si>
  <si>
    <t xml:space="preserve">K171</t>
  </si>
  <si>
    <t xml:space="preserve">Salina zhangi</t>
  </si>
  <si>
    <t xml:space="preserve">What is the body length of Salina zhangi?</t>
  </si>
  <si>
    <t xml:space="preserve">1.57 mm</t>
  </si>
  <si>
    <r>
      <rPr>
        <sz val="10"/>
        <rFont val="Arial"/>
        <family val="0"/>
        <charset val="1"/>
      </rPr>
      <t xml:space="preserve">… Cumbuco (13°01’03”S; 41°22’11”W), Caatinga Biome, 13.xi.2015, B.C. Bellini coll. Paratypes four females and one male on slides, plus 5 specimens in alcohol, same data as holotype. Type material deposited at Collembola Collection of DBEZ / UFRN. Description. Total length (head + trunk) of holotype </t>
    </r>
    <r>
      <rPr>
        <b val="true"/>
        <sz val="10"/>
        <rFont val="Arial"/>
        <family val="0"/>
        <charset val="1"/>
      </rPr>
      <t xml:space="preserve">1.57 mm</t>
    </r>
    <r>
      <rPr>
        <sz val="10"/>
        <rFont val="Arial"/>
        <family val="0"/>
        <charset val="1"/>
      </rPr>
      <t xml:space="preserve">. Habitus typical of Salina (Fig. 5). Specimens pale white to light yellow with blue to brown pigment covering the Ant. IV–II, lateral head, lateral edges of Th. II– III, medial Abd. III and posterior IV, and entirely the tibiotarsi. Eyepatches, distal margin of Ant. I–III and anterior margin of …</t>
    </r>
  </si>
  <si>
    <t xml:space="preserve">K177</t>
  </si>
  <si>
    <t xml:space="preserve">Isotomurus jharkhandensis</t>
  </si>
  <si>
    <t xml:space="preserve">What is the body length of Isotomurus jharkhandensis?</t>
  </si>
  <si>
    <t xml:space="preserve">1.93 mm</t>
  </si>
  <si>
    <r>
      <rPr>
        <sz val="10"/>
        <rFont val="Arial"/>
        <family val="0"/>
        <charset val="1"/>
      </rPr>
      <t xml:space="preserve">… E 86˚26’56.8” collected by G. P. Mandal, Registration No. 1990/H14/ZSI; 01 ex on slide, India: Jharkhand: Amaghata Forest, Dhanbad district , 07. ix. 2013, Lat &amp; Long. N 23°49’43.4” and E 86°30’13.3”, collected by G. P. Mandal, Registration No. 1991/H14/ZSI. Description: Body length up to </t>
    </r>
    <r>
      <rPr>
        <b val="true"/>
        <sz val="10"/>
        <rFont val="Arial"/>
        <family val="0"/>
        <charset val="1"/>
      </rPr>
      <t xml:space="preserve">1.93 mm</t>
    </r>
    <r>
      <rPr>
        <sz val="10"/>
        <rFont val="Arial"/>
        <family val="0"/>
        <charset val="1"/>
      </rPr>
      <t xml:space="preserve"> (excluding appendages). Colour Pattern: Background colour yellowish white. Eyes dark blue-black, one anterior &amp; one median black spot present between eyes. Base of antenne and posterior side of head pigmented with violettish blue. Ant - I, II laterally pigment, Ant – III and IV darker. Pre coxae …</t>
    </r>
  </si>
  <si>
    <t xml:space="preserve">K179</t>
  </si>
  <si>
    <t xml:space="preserve">Ceratophysella macrocantha</t>
  </si>
  <si>
    <t xml:space="preserve">What is the body length of Ceratophysella macrocantha?</t>
  </si>
  <si>
    <t xml:space="preserve">2.4 mm</t>
  </si>
  <si>
    <r>
      <rPr>
        <sz val="10"/>
        <rFont val="Arial"/>
        <family val="0"/>
        <charset val="1"/>
      </rPr>
      <t xml:space="preserve">… beyond the teeth and broadened at the tip. Outer maxillary lobe with two sublobal hairs. Empodial appendage with apical filament reaching tip of claw. Dens with 7 unmodified setae, mucro slender, spoonlike at tip, with low outer lamella. Anal spines long colourless. Redescription: Body length </t>
    </r>
    <r>
      <rPr>
        <b val="true"/>
        <sz val="10"/>
        <rFont val="Arial"/>
        <family val="0"/>
        <charset val="1"/>
      </rPr>
      <t xml:space="preserve">2.4 mm</t>
    </r>
    <r>
      <rPr>
        <sz val="10"/>
        <rFont val="Arial"/>
        <family val="0"/>
        <charset val="1"/>
      </rPr>
      <t xml:space="preserve">. Colour (in alcohol) mostly dark blue, ventrally paler. Tegumental granulation fine and uniform, 27 granules between widely spaced macrosetae p 1 on abdominal tergum V (Fig. 6). Arrangement of setae on head typical for the genus, spinelike setae absent. Dorsal chaetotaxy of type B (Figs 5-6). …</t>
    </r>
  </si>
  <si>
    <t xml:space="preserve">K190</t>
  </si>
  <si>
    <t xml:space="preserve">Cylindropygus ferox</t>
  </si>
  <si>
    <t xml:space="preserve">What is the body length of Cylindropygus ferox?</t>
  </si>
  <si>
    <t xml:space="preserve">0.65–0.80 mm  ||  0.65-0.80 mm</t>
  </si>
  <si>
    <r>
      <rPr>
        <sz val="10"/>
        <rFont val="Arial"/>
        <family val="0"/>
        <charset val="1"/>
      </rPr>
      <t xml:space="preserve">… and three paratypes mounted in Marc-André II and 30 paratypes in alcohol deposited in the Muséum national d’Histoire naturelle de Paris. One paratype mounted in Marc-André II and five paratypes in alcohol deposited in the collection of Moscow State Pedagogical University. Description Body length </t>
    </r>
    <r>
      <rPr>
        <b val="true"/>
        <sz val="10"/>
        <rFont val="Arial"/>
        <family val="0"/>
        <charset val="1"/>
      </rPr>
      <t xml:space="preserve">0.65–0.80 mm</t>
    </r>
    <r>
      <rPr>
        <sz val="10"/>
        <rFont val="Arial"/>
        <family val="0"/>
        <charset val="1"/>
      </rPr>
      <t xml:space="preserve">. Habitus perfectly cylindrical, elongate (Figure 1). Abd.V–VI fused, rounded, V+VI slightly shorter than III. Antennae shorter than head. Entirely white. Integument covered with small elementary hexagonal grains, larger on head. Dorsal mesochaetae slightly curved, acuminate, smooth; longer on …</t>
    </r>
  </si>
  <si>
    <t xml:space="preserve">K198</t>
  </si>
  <si>
    <t xml:space="preserve">Hypogastrura quadritenenta</t>
  </si>
  <si>
    <t xml:space="preserve">What is the habitat of Hypogastrura quadritenenta?</t>
  </si>
  <si>
    <t xml:space="preserve">soil under decaying leaves and sticks in deciduous forest</t>
  </si>
  <si>
    <r>
      <rPr>
        <sz val="10"/>
        <rFont val="Arial"/>
        <family val="0"/>
        <charset val="1"/>
      </rPr>
      <t xml:space="preserve">… ratio of length of dens plus mucro:unguis III = 2.4–2.6:1. Genital plates of male and female respectively with 35–42 and 26–28 setae (Figs. 18 and 19). Anal lobes with 13–19 setae. Two anal spines on Abd. VI short and curved, longer than their basal papillae (Figs. 3 and 12). Ecology. Found in </t>
    </r>
    <r>
      <rPr>
        <b val="true"/>
        <sz val="10"/>
        <rFont val="Arial"/>
        <family val="0"/>
        <charset val="1"/>
      </rPr>
      <t xml:space="preserve">soil under decaying leaves and sticks in deciduous forest</t>
    </r>
    <r>
      <rPr>
        <sz val="10"/>
        <rFont val="Arial"/>
        <family val="0"/>
        <charset val="1"/>
      </rPr>
      <t xml:space="preserve">. Etymology. The name refers to the four tenent hairs present on the tibiotarsi of middle and hind legs. Remarks. The new species, Hypogastrura quadritenenta , belongs to the H. viatica group because it possesses all the characters of the species group. It can be separated from other members, …</t>
    </r>
  </si>
  <si>
    <t xml:space="preserve">K202</t>
  </si>
  <si>
    <t xml:space="preserve">Sensiphorura oligoseta</t>
  </si>
  <si>
    <t xml:space="preserve">What is the habitat of Sensiphorura oligoseta?</t>
  </si>
  <si>
    <t xml:space="preserve">the dunes of the beach and tropical forest  ||  dunes of the beach</t>
  </si>
  <si>
    <r>
      <rPr>
        <sz val="10"/>
        <rFont val="Arial"/>
        <family val="0"/>
        <charset val="1"/>
      </rPr>
      <t xml:space="preserve">… Ant. IV (vs. large), differentiation of sensory chaetae s on body (Figs 4, 5), and absence (vs. presence) of a2 seta on Abd. I–III. Etymology The new species has fewer setae on abdominal tergites. Distribution and ecology. The species is known only from two localities of Hainan (SE China), from </t>
    </r>
    <r>
      <rPr>
        <b val="true"/>
        <sz val="10"/>
        <rFont val="Arial"/>
        <family val="0"/>
        <charset val="1"/>
      </rPr>
      <t xml:space="preserve">the dunes of the beach and tropical forest</t>
    </r>
    <r>
      <rPr>
        <sz val="10"/>
        <rFont val="Arial"/>
        <family val="0"/>
        <charset val="1"/>
      </rPr>
      <t xml:space="preserve">. Type species of the genus, S. marshalli , was found in the litter of old coast western hemlock forest. Habitat of the holotype was shown in Potapov et al. (2011, Fig. 9). Remarks. The records of Pachytullbergiidae (Pachytullbergiinae in the past) in the world are scanty and its systematic …</t>
    </r>
  </si>
  <si>
    <t xml:space="preserve">K209</t>
  </si>
  <si>
    <t xml:space="preserve">Pseudachorutes cheni</t>
  </si>
  <si>
    <t xml:space="preserve">What is the habitat of Pseudachorutes cheni?</t>
  </si>
  <si>
    <t xml:space="preserve">soil under a stack of decayed grass in the orange grove</t>
  </si>
  <si>
    <r>
      <rPr>
        <sz val="10"/>
        <rFont val="Arial"/>
        <family val="0"/>
        <charset val="1"/>
      </rPr>
      <t xml:space="preserve">… 3+3 teeth, no setae on corpus. Manubrium usually with 9–10+9–10 posterior setae. Dens granulated, with 6 setae (Fig. 3). Mucro without outer and inner lamellae (Fig. 3). Length ratio of manubrium: dens: mucro = 4.0–4.5: 3.0–3.1: 1. Female genital plate with about 30 setae (Fig. 10). Ecology. In </t>
    </r>
    <r>
      <rPr>
        <b val="true"/>
        <sz val="10"/>
        <rFont val="Arial"/>
        <family val="0"/>
        <charset val="1"/>
      </rPr>
      <t xml:space="preserve">soil under a stack of decayed grass in the orange grove</t>
    </r>
    <r>
      <rPr>
        <sz val="10"/>
        <rFont val="Arial"/>
        <family val="0"/>
        <charset val="1"/>
      </rPr>
      <t xml:space="preserve">. Etymology. The new species is named after Prof. Jian–Xiu Chen from Nanjing University, China. His assistance was helpful for our research. Remarks. The new species is very similar to P. andrei Weiner &amp; Najt, 1985 . Both species have Ant. IV with 6 differentiated sensilla and trilobed apical …</t>
    </r>
  </si>
  <si>
    <t xml:space="preserve">K212</t>
  </si>
  <si>
    <t xml:space="preserve">Cyphoderus mucrominimus</t>
  </si>
  <si>
    <t xml:space="preserve">What is the habitat of Cyphoderus mucrominimus?</t>
  </si>
  <si>
    <t xml:space="preserve">iron caves</t>
  </si>
  <si>
    <r>
      <rPr>
        <sz val="10"/>
        <rFont val="Arial"/>
        <family val="0"/>
        <charset val="1"/>
      </rPr>
      <t xml:space="preserve">… on ventral side, 2 at the base of external scale and one at the base of internal scale. Mucro vestigial (9,5µm), bidentate apically, with one small subapical tooth (aAI). Etymology. The species is named after the reduced size of mucro. Distribution. The species was recorded from Amazon Rainforest </t>
    </r>
    <r>
      <rPr>
        <b val="true"/>
        <sz val="10"/>
        <rFont val="Arial"/>
        <family val="0"/>
        <charset val="1"/>
      </rPr>
      <t xml:space="preserve">iron caves</t>
    </r>
    <r>
      <rPr>
        <sz val="10"/>
        <rFont val="Arial"/>
        <family val="0"/>
        <charset val="1"/>
      </rPr>
      <t xml:space="preserve"> at Curionópolis (Serra Leste) and Parauapebas, Pará State, northern Brazil. Ecology. Collected in four iron caves in Serra Leste and five iron caves in Parauapebas. These caves are inserted in the Amazon forest, mostly small caves whose conditions vary according to the surface weather. The …</t>
    </r>
  </si>
  <si>
    <t xml:space="preserve">K216</t>
  </si>
  <si>
    <t xml:space="preserve">Pseudanurophorus barathrum</t>
  </si>
  <si>
    <t xml:space="preserve">What is the habitat of Pseudanurophorus barathrum?</t>
  </si>
  <si>
    <t xml:space="preserve">littoral zone of the shore of Lake Baikal  ||  shingly beaches  ||  littoral zone</t>
  </si>
  <si>
    <r>
      <rPr>
        <sz val="10"/>
        <rFont val="Arial"/>
        <family val="0"/>
        <charset val="1"/>
      </rPr>
      <t xml:space="preserve">… in axial group of tergites and yet have macrosetae on last abdominal segments (vs. absent in P. barathrum sp. nov.). Pseudanurophorus arcticus is described and subsequently recorded in the Arctic and P. montanus in the mountains of Middle Asia. Distribution and ecology. Several records from the </t>
    </r>
    <r>
      <rPr>
        <b val="true"/>
        <sz val="10"/>
        <rFont val="Arial"/>
        <family val="0"/>
        <charset val="1"/>
      </rPr>
      <t xml:space="preserve">littoral zone of the shore of Lake Baikal</t>
    </r>
    <r>
      <rPr>
        <sz val="10"/>
        <rFont val="Arial"/>
        <family val="0"/>
        <charset val="1"/>
      </rPr>
      <t xml:space="preserve">, none found inland. It is one of the common species in shingly beaches. Name derivation. It is named after the specific mouth parts ( barathrum - a glutton in Latin, among other translations).</t>
    </r>
  </si>
  <si>
    <t xml:space="preserve">K226</t>
  </si>
  <si>
    <t xml:space="preserve">Szeptyckitheca mucroserrata</t>
  </si>
  <si>
    <t xml:space="preserve">What is the habitat of Szeptyckitheca mucroserrata?</t>
  </si>
  <si>
    <t xml:space="preserve">Australian pine needles, leaf mold, and forest debris  ||  forest litter  ||  sand dunes</t>
  </si>
  <si>
    <r>
      <rPr>
        <sz val="10"/>
        <rFont val="Arial"/>
        <family val="0"/>
        <charset val="1"/>
      </rPr>
      <t xml:space="preserve">… has possibly been used to circumscribe a complex of species. In this scenario its redescription is urgent, to improve the comprehension of the morphology and distribution of Szeptyckitheca species from the New World. Habitat. Specimens listed in the original description were found associated with </t>
    </r>
    <r>
      <rPr>
        <b val="true"/>
        <sz val="10"/>
        <rFont val="Arial"/>
        <family val="0"/>
        <charset val="1"/>
      </rPr>
      <t xml:space="preserve">Australian pine needles, leaf mold, and forest debris</t>
    </r>
    <r>
      <rPr>
        <sz val="10"/>
        <rFont val="Arial"/>
        <family val="0"/>
        <charset val="1"/>
      </rPr>
      <t xml:space="preserve"> in Florida, USA (Snider 1978). In Brazil, specimens of S. mucroserrata were found associated to forest litter and on sand dunes (Abrantes et al. 2012). Known distribution. Brazil, Mexico, and USA (Snider 1978; Mari-Mutt and Bellinger 1996; Abrantes et al. 2012).</t>
    </r>
  </si>
  <si>
    <t xml:space="preserve">K233</t>
  </si>
  <si>
    <t xml:space="preserve">Cryptopygus bulbus</t>
  </si>
  <si>
    <t xml:space="preserve">What is the habitat of Cryptopygus bulbus?</t>
  </si>
  <si>
    <t xml:space="preserve">leaf litter in indigenous vegetation  ||  leaf litter</t>
  </si>
  <si>
    <r>
      <rPr>
        <sz val="10"/>
        <rFont val="Arial"/>
        <family val="0"/>
        <charset val="1"/>
      </rPr>
      <t xml:space="preserve">… The name is derived from the presence of apical bulb on Ant. IV. Distribution and ecology. Currently known to occur in the southern part of the Western Cape Province of South Africa, including Kogelberg, Franschoek and the Table Mountain area (Cape Town). All specimens were collected from </t>
    </r>
    <r>
      <rPr>
        <b val="true"/>
        <sz val="10"/>
        <rFont val="Arial"/>
        <family val="0"/>
        <charset val="1"/>
      </rPr>
      <t xml:space="preserve">leaf litter in indigenous vegetation</t>
    </r>
    <r>
      <rPr>
        <sz val="10"/>
        <rFont val="Arial"/>
        <family val="0"/>
        <charset val="1"/>
      </rPr>
      <t xml:space="preserve">. Discussion. The species differs from other representatives of the Cryptopygus complex, if not from all Isotomidae of the Southern Hemisphere, by the presence of a globular bulb at tip of the antennae. The taxonomical value of this character is not fully clear. In the Northern Hemisphere several …</t>
    </r>
  </si>
  <si>
    <t xml:space="preserve">K247</t>
  </si>
  <si>
    <t xml:space="preserve">Trophic guild</t>
  </si>
  <si>
    <t xml:space="preserve">Paratullbergia chuana</t>
  </si>
  <si>
    <t xml:space="preserve">What does Paratullbergia chuana feed on?</t>
  </si>
  <si>
    <t xml:space="preserve">fungivorous  ||  spores and mycelium fragments of soil fungi  ||  soil fungi</t>
  </si>
  <si>
    <r>
      <rPr>
        <sz val="10"/>
        <rFont val="Arial"/>
        <family val="0"/>
        <charset val="1"/>
      </rPr>
      <t xml:space="preserve">… P. chuana sp. nov. occur in natural forest of high altitude (more than 3000 m) with relatively large populations. It seems different species are adapted to different environments. Spores and mycelium fragments of soil fungi can be recognised in their gut contents, which indicates that they are </t>
    </r>
    <r>
      <rPr>
        <b val="true"/>
        <sz val="10"/>
        <rFont val="Arial"/>
        <family val="0"/>
        <charset val="1"/>
      </rPr>
      <t xml:space="preserve">fungivorous</t>
    </r>
    <r>
      <rPr>
        <sz val="10"/>
        <rFont val="Arial"/>
        <family val="0"/>
        <charset val="1"/>
      </rPr>
      <t xml:space="preserve">.</t>
    </r>
  </si>
  <si>
    <t xml:space="preserve">Summary (calculated from the Spot-check sheet)</t>
  </si>
  <si>
    <t xml:space="preserve">All</t>
  </si>
  <si>
    <t xml:space="preserve">Items in sample</t>
  </si>
  <si>
    <t xml:space="preserve">Not yet reviewed</t>
  </si>
  <si>
    <t xml:space="preserve">Agreement (Correct / judged)</t>
  </si>
  <si>
    <t xml:space="preserve">Agreement incl. partly correct</t>
  </si>
  <si>
    <t xml:space="preserve">'Judged' = Correct + Partly correct + Wrong; 'Cannot judge' is left out of the agreement.</t>
  </si>
</sst>
</file>

<file path=xl/styles.xml><?xml version="1.0" encoding="utf-8"?>
<styleSheet xmlns="http://schemas.openxmlformats.org/spreadsheetml/2006/main">
  <numFmts count="3">
    <numFmt numFmtId="164" formatCode="General"/>
    <numFmt numFmtId="165" formatCode="General"/>
    <numFmt numFmtId="166" formatCode="0%"/>
  </numFmts>
  <fonts count="12">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10"/>
      <name val="Arial"/>
      <family val="0"/>
      <charset val="1"/>
    </font>
    <font>
      <b val="true"/>
      <sz val="10"/>
      <name val="Arial"/>
      <family val="0"/>
      <charset val="1"/>
    </font>
    <font>
      <b val="true"/>
      <sz val="10"/>
      <color rgb="FFFFFFFF"/>
      <name val="Arial"/>
      <family val="0"/>
      <charset val="1"/>
    </font>
    <font>
      <i val="true"/>
      <sz val="10"/>
      <name val="Arial"/>
      <family val="0"/>
      <charset val="1"/>
    </font>
    <font>
      <u val="single"/>
      <sz val="10"/>
      <color rgb="FF0563C1"/>
      <name val="Arial"/>
      <family val="0"/>
      <charset val="1"/>
    </font>
    <font>
      <sz val="10"/>
      <name val="Arial"/>
      <family val="2"/>
    </font>
    <font>
      <i val="true"/>
      <sz val="9"/>
      <name val="Arial"/>
      <family val="0"/>
      <charset val="1"/>
    </font>
  </fonts>
  <fills count="5">
    <fill>
      <patternFill patternType="none"/>
    </fill>
    <fill>
      <patternFill patternType="gray125"/>
    </fill>
    <fill>
      <patternFill patternType="solid">
        <fgColor rgb="FFFFF2CC"/>
        <bgColor rgb="FFF2F2F2"/>
      </patternFill>
    </fill>
    <fill>
      <patternFill patternType="solid">
        <fgColor rgb="FFF2F2F2"/>
        <bgColor rgb="FFFFFFFF"/>
      </patternFill>
    </fill>
    <fill>
      <patternFill patternType="solid">
        <fgColor rgb="FF1F4E79"/>
        <bgColor rgb="FF003366"/>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5" fillId="2" borderId="1" xfId="0" applyFont="true" applyBorder="true" applyAlignment="true" applyProtection="false">
      <alignment horizontal="general" vertical="top"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7" fillId="4" borderId="1" xfId="0" applyFont="true" applyBorder="true" applyAlignment="true" applyProtection="false">
      <alignment horizontal="general"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7" fillId="4" borderId="0" xfId="0" applyFont="true" applyBorder="false" applyAlignment="false" applyProtection="false">
      <alignment horizontal="general" vertical="bottom" textRotation="0" wrapText="false" indent="0" shrinkToFit="false"/>
      <protection locked="true" hidden="false"/>
    </xf>
    <xf numFmtId="164" fontId="7" fillId="4"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5" fontId="5" fillId="0" borderId="1" xfId="0" applyFont="true" applyBorder="true" applyAlignment="false" applyProtection="false">
      <alignment horizontal="general" vertical="bottom" textRotation="0" wrapText="false" indent="0" shrinkToFit="false"/>
      <protection locked="true" hidden="false"/>
    </xf>
    <xf numFmtId="166" fontId="5" fillId="0" borderId="1" xfId="0" applyFont="true" applyBorder="tru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1F4E79"/>
          <bgColor rgb="FF000000"/>
        </patternFill>
      </fill>
    </dxf>
    <dxf>
      <fill>
        <patternFill patternType="solid">
          <bgColor rgb="FF000000"/>
        </patternFill>
      </fill>
    </dxf>
    <dxf>
      <fill>
        <patternFill patternType="solid">
          <fgColor rgb="FFFFFFFF"/>
          <bgColor rgb="FF000000"/>
        </patternFill>
      </fill>
    </dxf>
    <dxf>
      <fill>
        <patternFill patternType="solid">
          <fgColor rgb="FF0563C1"/>
          <bgColor rgb="FF000000"/>
        </patternFill>
      </fill>
    </dxf>
    <dxf>
      <fill>
        <patternFill patternType="solid">
          <fgColor rgb="FFFFF2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F2F2F2"/>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treatment.plazi.org/id/03FF1701192EFF8F95AAFF229FB420E1" TargetMode="External"/><Relationship Id="rId3" Type="http://schemas.openxmlformats.org/officeDocument/2006/relationships/hyperlink" Target="https://treatment.plazi.org/id/3D404F72FFDBFFD85E8FFB3CDC0BF977" TargetMode="External"/><Relationship Id="rId4" Type="http://schemas.openxmlformats.org/officeDocument/2006/relationships/hyperlink" Target="https://treatment.plazi.org/id/6CB1AEDA09E85EB254C928B8B074EDF1" TargetMode="External"/><Relationship Id="rId5" Type="http://schemas.openxmlformats.org/officeDocument/2006/relationships/hyperlink" Target="https://treatment.plazi.org/id/5306878ECC17FFF2DE73F911FD9A6996" TargetMode="External"/><Relationship Id="rId6" Type="http://schemas.openxmlformats.org/officeDocument/2006/relationships/hyperlink" Target="https://treatment.plazi.org/id/5C078AB1E856532EB5F209F69958BDB8" TargetMode="External"/><Relationship Id="rId7" Type="http://schemas.openxmlformats.org/officeDocument/2006/relationships/hyperlink" Target="https://treatment.plazi.org/id/03DF87B4E03A5D4CFF58FD2F3DDDFD26" TargetMode="External"/><Relationship Id="rId8" Type="http://schemas.openxmlformats.org/officeDocument/2006/relationships/hyperlink" Target="https://treatment.plazi.org/id/877F1C3EFFC46F4F227E598BFDCDFA0E" TargetMode="External"/><Relationship Id="rId9" Type="http://schemas.openxmlformats.org/officeDocument/2006/relationships/hyperlink" Target="https://treatment.plazi.org/id/E75F96C1532AAEE2F42F5D9D8A0E5B3A" TargetMode="External"/><Relationship Id="rId10" Type="http://schemas.openxmlformats.org/officeDocument/2006/relationships/hyperlink" Target="https://treatment.plazi.org/id/462C4399517288EDC0A8EF3142DDD8B8" TargetMode="External"/><Relationship Id="rId11" Type="http://schemas.openxmlformats.org/officeDocument/2006/relationships/hyperlink" Target="https://treatment.plazi.org/id/03C387C2FFE2FFC3FE9C471BAF0133BB" TargetMode="External"/><Relationship Id="rId12" Type="http://schemas.openxmlformats.org/officeDocument/2006/relationships/hyperlink" Target="https://treatment.plazi.org/id/1E61975CFFE80A6FFF0EFF5AD8922839" TargetMode="External"/><Relationship Id="rId13" Type="http://schemas.openxmlformats.org/officeDocument/2006/relationships/hyperlink" Target="https://treatment.plazi.org/id/752287812A4CF97B2EFB8CFAFEE9AF77" TargetMode="External"/><Relationship Id="rId14" Type="http://schemas.openxmlformats.org/officeDocument/2006/relationships/hyperlink" Target="https://treatment.plazi.org/id/03FDDD4A654DFF84CDBAF98939EB308C" TargetMode="External"/><Relationship Id="rId15" Type="http://schemas.openxmlformats.org/officeDocument/2006/relationships/hyperlink" Target="https://treatment.plazi.org/id/6F20573334283A06CC8AFD3F44F3FC5B" TargetMode="External"/><Relationship Id="rId16" Type="http://schemas.openxmlformats.org/officeDocument/2006/relationships/hyperlink" Target="https://treatment.plazi.org/id/0D38B345FFB81D01DA8BFB7E3666742A" TargetMode="External"/><Relationship Id="rId17" Type="http://schemas.openxmlformats.org/officeDocument/2006/relationships/hyperlink" Target="https://treatment.plazi.org/id/F13187C5FF93FFF904DDFB25FE4AFE28" TargetMode="External"/><Relationship Id="rId18" Type="http://schemas.openxmlformats.org/officeDocument/2006/relationships/hyperlink" Target="https://treatment.plazi.org/id/03E2878A790BFFCE10E0FDB5FE26FA24" TargetMode="External"/><Relationship Id="rId19" Type="http://schemas.openxmlformats.org/officeDocument/2006/relationships/hyperlink" Target="https://treatment.plazi.org/id/033487C7DA4EFFA9FF07697BDBDB7F96" TargetMode="External"/><Relationship Id="rId20" Type="http://schemas.openxmlformats.org/officeDocument/2006/relationships/hyperlink" Target="https://treatment.plazi.org/id/6B02879DB90E664DF4B5FF61FCD9F827" TargetMode="External"/><Relationship Id="rId21" Type="http://schemas.openxmlformats.org/officeDocument/2006/relationships/hyperlink" Target="https://treatment.plazi.org/id/038A87DEFFAAFFEBFF6CFBF511C8B2F1" TargetMode="External"/><Relationship Id="rId22" Type="http://schemas.openxmlformats.org/officeDocument/2006/relationships/hyperlink" Target="https://treatment.plazi.org/id/55468786AC05FFB75C85C610B95A07EC" TargetMode="External"/><Relationship Id="rId23" Type="http://schemas.openxmlformats.org/officeDocument/2006/relationships/hyperlink" Target="https://treatment.plazi.org/id/4AF91ACA36555987BAA839FB791F4D4C" TargetMode="External"/><Relationship Id="rId24" Type="http://schemas.openxmlformats.org/officeDocument/2006/relationships/hyperlink" Target="https://treatment.plazi.org/id/E0B3CA88DEBA599198C83E45A881594C" TargetMode="External"/><Relationship Id="rId25" Type="http://schemas.openxmlformats.org/officeDocument/2006/relationships/hyperlink" Target="https://treatment.plazi.org/id/6A1D4C35081655CEBE5B441E88A98731" TargetMode="External"/><Relationship Id="rId26" Type="http://schemas.openxmlformats.org/officeDocument/2006/relationships/hyperlink" Target="https://treatment.plazi.org/id/F614CE575378FFC9FF39DB82FD6CFB3B" TargetMode="External"/><Relationship Id="rId27" Type="http://schemas.openxmlformats.org/officeDocument/2006/relationships/drawing" Target="../drawings/drawing1.xml"/><Relationship Id="rId28"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2:C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6"/>
    <col collapsed="false" customWidth="true" hidden="false" outlineLevel="0" max="3" min="3" style="0" width="95"/>
  </cols>
  <sheetData>
    <row r="2" customFormat="false" ht="17.35" hidden="false" customHeight="false" outlineLevel="0" collapsed="false">
      <c r="B2" s="1" t="s">
        <v>0</v>
      </c>
    </row>
    <row r="3" customFormat="false" ht="15" hidden="false" customHeight="false" outlineLevel="0" collapsed="false">
      <c r="B3" s="2"/>
    </row>
    <row r="4" customFormat="false" ht="60" hidden="false" customHeight="true" outlineLevel="0" collapsed="false">
      <c r="A4" s="3"/>
      <c r="B4" s="4" t="s">
        <v>1</v>
      </c>
      <c r="C4" s="5" t="s">
        <v>2</v>
      </c>
    </row>
    <row r="5" customFormat="false" ht="31.5" hidden="false" customHeight="true" outlineLevel="0" collapsed="false">
      <c r="A5" s="3"/>
      <c r="B5" s="4" t="s">
        <v>3</v>
      </c>
      <c r="C5" s="5" t="s">
        <v>4</v>
      </c>
    </row>
    <row r="6" customFormat="false" ht="31.5" hidden="false" customHeight="true" outlineLevel="0" collapsed="false">
      <c r="A6" s="3"/>
      <c r="B6" s="4" t="s">
        <v>5</v>
      </c>
      <c r="C6" s="5" t="s">
        <v>6</v>
      </c>
    </row>
    <row r="7" customFormat="false" ht="31.5" hidden="false" customHeight="true" outlineLevel="0" collapsed="false">
      <c r="A7" s="3"/>
      <c r="B7" s="4" t="s">
        <v>7</v>
      </c>
      <c r="C7" s="5" t="s">
        <v>8</v>
      </c>
    </row>
    <row r="8" customFormat="false" ht="18" hidden="false" customHeight="true" outlineLevel="0" collapsed="false">
      <c r="A8" s="3"/>
      <c r="B8" s="4" t="s">
        <v>9</v>
      </c>
      <c r="C8" s="5" t="s">
        <v>10</v>
      </c>
    </row>
    <row r="9" customFormat="false" ht="31.5" hidden="false" customHeight="true" outlineLevel="0" collapsed="false">
      <c r="A9" s="3"/>
      <c r="B9" s="4" t="s">
        <v>11</v>
      </c>
      <c r="C9" s="5" t="s">
        <v>12</v>
      </c>
    </row>
    <row r="10" customFormat="false" ht="31.5" hidden="false" customHeight="true" outlineLevel="0" collapsed="false">
      <c r="A10" s="3"/>
      <c r="B10" s="4" t="s">
        <v>13</v>
      </c>
      <c r="C10" s="5" t="s">
        <v>14</v>
      </c>
    </row>
    <row r="11" customFormat="false" ht="18" hidden="false" customHeight="true" outlineLevel="0" collapsed="false">
      <c r="A11" s="3"/>
      <c r="B11" s="4" t="s">
        <v>15</v>
      </c>
      <c r="C11" s="5" t="s">
        <v>16</v>
      </c>
    </row>
    <row r="12" customFormat="false" ht="45.75" hidden="false" customHeight="true" outlineLevel="0" collapsed="false">
      <c r="A12" s="3"/>
      <c r="B12" s="4" t="s">
        <v>17</v>
      </c>
      <c r="C12" s="5" t="s">
        <v>18</v>
      </c>
    </row>
    <row r="13" customFormat="false" ht="18" hidden="false" customHeight="true" outlineLevel="0" collapsed="false">
      <c r="A13" s="3"/>
      <c r="B13" s="4" t="s">
        <v>19</v>
      </c>
      <c r="C13" s="5" t="s">
        <v>20</v>
      </c>
    </row>
    <row r="14" customFormat="false" ht="18" hidden="false" customHeight="true" outlineLevel="0" collapsed="false">
      <c r="A14" s="3"/>
      <c r="B14" s="4" t="s">
        <v>21</v>
      </c>
      <c r="C14" s="6"/>
    </row>
    <row r="15" customFormat="false" ht="18" hidden="false" customHeight="true" outlineLevel="0" collapsed="false">
      <c r="A15" s="3"/>
      <c r="B15" s="4" t="s">
        <v>22</v>
      </c>
      <c r="C15" s="6"/>
    </row>
    <row r="16" customFormat="false" ht="15" hidden="false" customHeight="false" outlineLevel="0" collapsed="false">
      <c r="A16" s="3"/>
      <c r="B16" s="3"/>
      <c r="C16" s="3"/>
    </row>
    <row r="17" customFormat="false" ht="23.85" hidden="false" customHeight="false" outlineLevel="0" collapsed="false">
      <c r="A17" s="3"/>
      <c r="B17" s="4" t="s">
        <v>23</v>
      </c>
      <c r="C17" s="3"/>
    </row>
    <row r="18" customFormat="false" ht="15" hidden="false" customHeight="false" outlineLevel="0" collapsed="false">
      <c r="A18" s="3"/>
      <c r="B18" s="5" t="s">
        <v>24</v>
      </c>
      <c r="C18" s="7" t="s">
        <v>25</v>
      </c>
    </row>
    <row r="19" customFormat="false" ht="15" hidden="false" customHeight="false" outlineLevel="0" collapsed="false">
      <c r="A19" s="3"/>
      <c r="B19" s="5" t="s">
        <v>26</v>
      </c>
      <c r="C19" s="7" t="s">
        <v>11</v>
      </c>
    </row>
    <row r="20" customFormat="false" ht="15" hidden="false" customHeight="false" outlineLevel="0" collapsed="false">
      <c r="A20" s="3"/>
      <c r="B20" s="5" t="s">
        <v>27</v>
      </c>
      <c r="C20" s="7" t="s">
        <v>28</v>
      </c>
    </row>
    <row r="21" customFormat="false" ht="15" hidden="false" customHeight="false" outlineLevel="0" collapsed="false">
      <c r="A21" s="3"/>
      <c r="B21" s="5" t="s">
        <v>29</v>
      </c>
      <c r="C21" s="7" t="s">
        <v>30</v>
      </c>
    </row>
    <row r="22" customFormat="false" ht="15" hidden="false" customHeight="false" outlineLevel="0" collapsed="false">
      <c r="A22" s="3"/>
      <c r="B22" s="3"/>
      <c r="C22" s="3"/>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K2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7"/>
    <col collapsed="false" customWidth="true" hidden="false" outlineLevel="0" max="3" min="3" style="0" width="12"/>
    <col collapsed="false" customWidth="true" hidden="false" outlineLevel="0" max="4" min="4" style="0" width="24"/>
    <col collapsed="false" customWidth="true" hidden="false" outlineLevel="0" max="5" min="5" style="0" width="30"/>
    <col collapsed="false" customWidth="true" hidden="false" outlineLevel="0" max="6" min="6" style="0" width="24"/>
    <col collapsed="false" customWidth="true" hidden="false" outlineLevel="0" max="7" min="7" style="0" width="70"/>
    <col collapsed="false" customWidth="true" hidden="false" outlineLevel="0" max="8" min="8" style="0" width="14"/>
    <col collapsed="false" customWidth="true" hidden="false" outlineLevel="0" max="9" min="9" style="0" width="15"/>
    <col collapsed="false" customWidth="true" hidden="false" outlineLevel="0" max="10" min="10" style="0" width="26"/>
    <col collapsed="false" customWidth="true" hidden="false" outlineLevel="0" max="11" min="11" style="0" width="30"/>
  </cols>
  <sheetData>
    <row r="1" customFormat="false" ht="30" hidden="false" customHeight="true" outlineLevel="0" collapsed="false">
      <c r="A1" s="8" t="s">
        <v>31</v>
      </c>
      <c r="B1" s="8" t="s">
        <v>32</v>
      </c>
      <c r="C1" s="8" t="s">
        <v>33</v>
      </c>
      <c r="D1" s="8" t="s">
        <v>34</v>
      </c>
      <c r="E1" s="8" t="s">
        <v>35</v>
      </c>
      <c r="F1" s="8" t="s">
        <v>24</v>
      </c>
      <c r="G1" s="8" t="s">
        <v>36</v>
      </c>
      <c r="H1" s="8" t="s">
        <v>37</v>
      </c>
      <c r="I1" s="8" t="s">
        <v>26</v>
      </c>
      <c r="J1" s="8" t="s">
        <v>27</v>
      </c>
      <c r="K1" s="8" t="s">
        <v>29</v>
      </c>
    </row>
    <row r="2" customFormat="false" ht="111.75" hidden="false" customHeight="true" outlineLevel="0" collapsed="false">
      <c r="A2" s="9" t="n">
        <v>1</v>
      </c>
      <c r="B2" s="9" t="s">
        <v>38</v>
      </c>
      <c r="C2" s="9" t="s">
        <v>39</v>
      </c>
      <c r="D2" s="10" t="s">
        <v>40</v>
      </c>
      <c r="E2" s="9" t="s">
        <v>41</v>
      </c>
      <c r="F2" s="9" t="s">
        <v>42</v>
      </c>
      <c r="G2" s="9" t="s">
        <v>43</v>
      </c>
      <c r="H2" s="11" t="s">
        <v>44</v>
      </c>
      <c r="I2" s="6"/>
      <c r="J2" s="6"/>
      <c r="K2" s="6"/>
    </row>
    <row r="3" customFormat="false" ht="72.75" hidden="false" customHeight="true" outlineLevel="0" collapsed="false">
      <c r="A3" s="9" t="n">
        <v>2</v>
      </c>
      <c r="B3" s="9" t="s">
        <v>45</v>
      </c>
      <c r="C3" s="9" t="s">
        <v>46</v>
      </c>
      <c r="D3" s="10" t="s">
        <v>47</v>
      </c>
      <c r="E3" s="9" t="s">
        <v>48</v>
      </c>
      <c r="F3" s="9" t="s">
        <v>49</v>
      </c>
      <c r="G3" s="9" t="s">
        <v>50</v>
      </c>
      <c r="H3" s="11" t="s">
        <v>44</v>
      </c>
      <c r="I3" s="6"/>
      <c r="J3" s="6"/>
      <c r="K3" s="6"/>
    </row>
    <row r="4" customFormat="false" ht="72.75" hidden="false" customHeight="true" outlineLevel="0" collapsed="false">
      <c r="A4" s="9" t="n">
        <v>3</v>
      </c>
      <c r="B4" s="9" t="s">
        <v>51</v>
      </c>
      <c r="C4" s="9" t="s">
        <v>39</v>
      </c>
      <c r="D4" s="10" t="s">
        <v>52</v>
      </c>
      <c r="E4" s="9" t="s">
        <v>53</v>
      </c>
      <c r="F4" s="9" t="s">
        <v>54</v>
      </c>
      <c r="G4" s="9" t="s">
        <v>55</v>
      </c>
      <c r="H4" s="11" t="s">
        <v>44</v>
      </c>
      <c r="I4" s="6"/>
      <c r="J4" s="6"/>
      <c r="K4" s="6"/>
    </row>
    <row r="5" customFormat="false" ht="111.75" hidden="false" customHeight="true" outlineLevel="0" collapsed="false">
      <c r="A5" s="9" t="n">
        <v>4</v>
      </c>
      <c r="B5" s="9" t="s">
        <v>56</v>
      </c>
      <c r="C5" s="9" t="s">
        <v>46</v>
      </c>
      <c r="D5" s="10" t="s">
        <v>57</v>
      </c>
      <c r="E5" s="9" t="s">
        <v>58</v>
      </c>
      <c r="F5" s="9" t="s">
        <v>59</v>
      </c>
      <c r="G5" s="9" t="s">
        <v>60</v>
      </c>
      <c r="H5" s="11" t="s">
        <v>44</v>
      </c>
      <c r="I5" s="6"/>
      <c r="J5" s="6"/>
      <c r="K5" s="6"/>
    </row>
    <row r="6" customFormat="false" ht="124.5" hidden="false" customHeight="true" outlineLevel="0" collapsed="false">
      <c r="A6" s="9" t="n">
        <v>5</v>
      </c>
      <c r="B6" s="9" t="s">
        <v>61</v>
      </c>
      <c r="C6" s="9" t="s">
        <v>39</v>
      </c>
      <c r="D6" s="10" t="s">
        <v>62</v>
      </c>
      <c r="E6" s="9" t="s">
        <v>63</v>
      </c>
      <c r="F6" s="9" t="s">
        <v>64</v>
      </c>
      <c r="G6" s="9" t="s">
        <v>65</v>
      </c>
      <c r="H6" s="11" t="s">
        <v>44</v>
      </c>
      <c r="I6" s="6"/>
      <c r="J6" s="6"/>
      <c r="K6" s="6"/>
    </row>
    <row r="7" customFormat="false" ht="72.75" hidden="false" customHeight="true" outlineLevel="0" collapsed="false">
      <c r="A7" s="9" t="n">
        <v>6</v>
      </c>
      <c r="B7" s="9" t="s">
        <v>66</v>
      </c>
      <c r="C7" s="9" t="s">
        <v>46</v>
      </c>
      <c r="D7" s="10" t="s">
        <v>67</v>
      </c>
      <c r="E7" s="9" t="s">
        <v>68</v>
      </c>
      <c r="F7" s="9" t="s">
        <v>69</v>
      </c>
      <c r="G7" s="9" t="s">
        <v>70</v>
      </c>
      <c r="H7" s="11" t="s">
        <v>44</v>
      </c>
      <c r="I7" s="6"/>
      <c r="J7" s="6"/>
      <c r="K7" s="6"/>
    </row>
    <row r="8" customFormat="false" ht="99" hidden="false" customHeight="true" outlineLevel="0" collapsed="false">
      <c r="A8" s="9" t="n">
        <v>7</v>
      </c>
      <c r="B8" s="9" t="s">
        <v>71</v>
      </c>
      <c r="C8" s="9" t="s">
        <v>39</v>
      </c>
      <c r="D8" s="10" t="s">
        <v>72</v>
      </c>
      <c r="E8" s="9" t="s">
        <v>73</v>
      </c>
      <c r="F8" s="9" t="s">
        <v>74</v>
      </c>
      <c r="G8" s="9" t="s">
        <v>75</v>
      </c>
      <c r="H8" s="11" t="s">
        <v>44</v>
      </c>
      <c r="I8" s="6"/>
      <c r="J8" s="6"/>
      <c r="K8" s="6"/>
    </row>
    <row r="9" customFormat="false" ht="111.75" hidden="false" customHeight="true" outlineLevel="0" collapsed="false">
      <c r="A9" s="9" t="n">
        <v>8</v>
      </c>
      <c r="B9" s="9" t="s">
        <v>76</v>
      </c>
      <c r="C9" s="9" t="s">
        <v>46</v>
      </c>
      <c r="D9" s="10" t="s">
        <v>77</v>
      </c>
      <c r="E9" s="9" t="s">
        <v>78</v>
      </c>
      <c r="F9" s="9" t="s">
        <v>79</v>
      </c>
      <c r="G9" s="9" t="s">
        <v>80</v>
      </c>
      <c r="H9" s="11" t="s">
        <v>44</v>
      </c>
      <c r="I9" s="6"/>
      <c r="J9" s="6"/>
      <c r="K9" s="6"/>
    </row>
    <row r="10" customFormat="false" ht="111.75" hidden="false" customHeight="true" outlineLevel="0" collapsed="false">
      <c r="A10" s="9" t="n">
        <v>9</v>
      </c>
      <c r="B10" s="9" t="s">
        <v>81</v>
      </c>
      <c r="C10" s="9" t="s">
        <v>39</v>
      </c>
      <c r="D10" s="10" t="s">
        <v>82</v>
      </c>
      <c r="E10" s="9" t="s">
        <v>83</v>
      </c>
      <c r="F10" s="9" t="s">
        <v>84</v>
      </c>
      <c r="G10" s="9" t="s">
        <v>85</v>
      </c>
      <c r="H10" s="11" t="s">
        <v>44</v>
      </c>
      <c r="I10" s="6"/>
      <c r="J10" s="6"/>
      <c r="K10" s="6"/>
    </row>
    <row r="11" customFormat="false" ht="85.5" hidden="false" customHeight="true" outlineLevel="0" collapsed="false">
      <c r="A11" s="9" t="n">
        <v>10</v>
      </c>
      <c r="B11" s="9" t="s">
        <v>86</v>
      </c>
      <c r="C11" s="9" t="s">
        <v>46</v>
      </c>
      <c r="D11" s="10" t="s">
        <v>87</v>
      </c>
      <c r="E11" s="9" t="s">
        <v>88</v>
      </c>
      <c r="F11" s="9" t="s">
        <v>89</v>
      </c>
      <c r="G11" s="9" t="s">
        <v>90</v>
      </c>
      <c r="H11" s="11" t="s">
        <v>44</v>
      </c>
      <c r="I11" s="6"/>
      <c r="J11" s="6"/>
      <c r="K11" s="6"/>
    </row>
    <row r="12" customFormat="false" ht="85.5" hidden="false" customHeight="true" outlineLevel="0" collapsed="false">
      <c r="A12" s="9" t="n">
        <v>11</v>
      </c>
      <c r="B12" s="9" t="s">
        <v>91</v>
      </c>
      <c r="C12" s="9" t="s">
        <v>46</v>
      </c>
      <c r="D12" s="10" t="s">
        <v>92</v>
      </c>
      <c r="E12" s="9" t="s">
        <v>93</v>
      </c>
      <c r="F12" s="9" t="s">
        <v>94</v>
      </c>
      <c r="G12" s="9" t="s">
        <v>95</v>
      </c>
      <c r="H12" s="11" t="s">
        <v>44</v>
      </c>
      <c r="I12" s="6"/>
      <c r="J12" s="6"/>
      <c r="K12" s="6"/>
    </row>
    <row r="13" customFormat="false" ht="111.75" hidden="false" customHeight="true" outlineLevel="0" collapsed="false">
      <c r="A13" s="9" t="n">
        <v>12</v>
      </c>
      <c r="B13" s="9" t="s">
        <v>96</v>
      </c>
      <c r="C13" s="9" t="s">
        <v>46</v>
      </c>
      <c r="D13" s="10" t="s">
        <v>97</v>
      </c>
      <c r="E13" s="9" t="s">
        <v>98</v>
      </c>
      <c r="F13" s="9" t="s">
        <v>99</v>
      </c>
      <c r="G13" s="9" t="s">
        <v>100</v>
      </c>
      <c r="H13" s="11" t="s">
        <v>44</v>
      </c>
      <c r="I13" s="6"/>
      <c r="J13" s="6"/>
      <c r="K13" s="6"/>
    </row>
    <row r="14" customFormat="false" ht="111.75" hidden="false" customHeight="true" outlineLevel="0" collapsed="false">
      <c r="A14" s="9" t="n">
        <v>13</v>
      </c>
      <c r="B14" s="9" t="s">
        <v>101</v>
      </c>
      <c r="C14" s="9" t="s">
        <v>46</v>
      </c>
      <c r="D14" s="10" t="s">
        <v>102</v>
      </c>
      <c r="E14" s="9" t="s">
        <v>103</v>
      </c>
      <c r="F14" s="9" t="s">
        <v>104</v>
      </c>
      <c r="G14" s="9" t="s">
        <v>105</v>
      </c>
      <c r="H14" s="11" t="s">
        <v>44</v>
      </c>
      <c r="I14" s="6"/>
      <c r="J14" s="6"/>
      <c r="K14" s="6"/>
    </row>
    <row r="15" customFormat="false" ht="111.75" hidden="false" customHeight="true" outlineLevel="0" collapsed="false">
      <c r="A15" s="9" t="n">
        <v>14</v>
      </c>
      <c r="B15" s="9" t="s">
        <v>106</v>
      </c>
      <c r="C15" s="9" t="s">
        <v>46</v>
      </c>
      <c r="D15" s="10" t="s">
        <v>107</v>
      </c>
      <c r="E15" s="9" t="s">
        <v>108</v>
      </c>
      <c r="F15" s="9" t="s">
        <v>109</v>
      </c>
      <c r="G15" s="9" t="s">
        <v>110</v>
      </c>
      <c r="H15" s="11" t="s">
        <v>44</v>
      </c>
      <c r="I15" s="6"/>
      <c r="J15" s="6"/>
      <c r="K15" s="6"/>
    </row>
    <row r="16" customFormat="false" ht="111.75" hidden="false" customHeight="true" outlineLevel="0" collapsed="false">
      <c r="A16" s="9" t="n">
        <v>15</v>
      </c>
      <c r="B16" s="9" t="s">
        <v>111</v>
      </c>
      <c r="C16" s="9" t="s">
        <v>46</v>
      </c>
      <c r="D16" s="10" t="s">
        <v>112</v>
      </c>
      <c r="E16" s="9" t="s">
        <v>113</v>
      </c>
      <c r="F16" s="9" t="s">
        <v>114</v>
      </c>
      <c r="G16" s="9" t="s">
        <v>115</v>
      </c>
      <c r="H16" s="11" t="s">
        <v>44</v>
      </c>
      <c r="I16" s="6"/>
      <c r="J16" s="6"/>
      <c r="K16" s="6"/>
    </row>
    <row r="17" customFormat="false" ht="111.75" hidden="false" customHeight="true" outlineLevel="0" collapsed="false">
      <c r="A17" s="9" t="n">
        <v>16</v>
      </c>
      <c r="B17" s="9" t="s">
        <v>116</v>
      </c>
      <c r="C17" s="9" t="s">
        <v>46</v>
      </c>
      <c r="D17" s="10" t="s">
        <v>117</v>
      </c>
      <c r="E17" s="9" t="s">
        <v>118</v>
      </c>
      <c r="F17" s="9" t="s">
        <v>119</v>
      </c>
      <c r="G17" s="9" t="s">
        <v>120</v>
      </c>
      <c r="H17" s="11" t="s">
        <v>44</v>
      </c>
      <c r="I17" s="6"/>
      <c r="J17" s="6"/>
      <c r="K17" s="6"/>
    </row>
    <row r="18" customFormat="false" ht="111.75" hidden="false" customHeight="true" outlineLevel="0" collapsed="false">
      <c r="A18" s="9" t="n">
        <v>17</v>
      </c>
      <c r="B18" s="9" t="s">
        <v>121</v>
      </c>
      <c r="C18" s="9" t="s">
        <v>46</v>
      </c>
      <c r="D18" s="10" t="s">
        <v>122</v>
      </c>
      <c r="E18" s="9" t="s">
        <v>123</v>
      </c>
      <c r="F18" s="9" t="s">
        <v>124</v>
      </c>
      <c r="G18" s="9" t="s">
        <v>125</v>
      </c>
      <c r="H18" s="11" t="s">
        <v>44</v>
      </c>
      <c r="I18" s="6"/>
      <c r="J18" s="6"/>
      <c r="K18" s="6"/>
    </row>
    <row r="19" customFormat="false" ht="124.5" hidden="false" customHeight="true" outlineLevel="0" collapsed="false">
      <c r="A19" s="9" t="n">
        <v>18</v>
      </c>
      <c r="B19" s="9" t="s">
        <v>126</v>
      </c>
      <c r="C19" s="9" t="s">
        <v>39</v>
      </c>
      <c r="D19" s="10" t="s">
        <v>127</v>
      </c>
      <c r="E19" s="9" t="s">
        <v>128</v>
      </c>
      <c r="F19" s="9" t="s">
        <v>129</v>
      </c>
      <c r="G19" s="9" t="s">
        <v>130</v>
      </c>
      <c r="H19" s="11" t="s">
        <v>44</v>
      </c>
      <c r="I19" s="6"/>
      <c r="J19" s="6"/>
      <c r="K19" s="6"/>
    </row>
    <row r="20" customFormat="false" ht="111.75" hidden="false" customHeight="true" outlineLevel="0" collapsed="false">
      <c r="A20" s="9" t="n">
        <v>19</v>
      </c>
      <c r="B20" s="9" t="s">
        <v>131</v>
      </c>
      <c r="C20" s="9" t="s">
        <v>39</v>
      </c>
      <c r="D20" s="10" t="s">
        <v>132</v>
      </c>
      <c r="E20" s="9" t="s">
        <v>133</v>
      </c>
      <c r="F20" s="9" t="s">
        <v>134</v>
      </c>
      <c r="G20" s="9" t="s">
        <v>135</v>
      </c>
      <c r="H20" s="11" t="s">
        <v>44</v>
      </c>
      <c r="I20" s="6"/>
      <c r="J20" s="6"/>
      <c r="K20" s="6"/>
    </row>
    <row r="21" customFormat="false" ht="124.5" hidden="false" customHeight="true" outlineLevel="0" collapsed="false">
      <c r="A21" s="9" t="n">
        <v>20</v>
      </c>
      <c r="B21" s="9" t="s">
        <v>136</v>
      </c>
      <c r="C21" s="9" t="s">
        <v>39</v>
      </c>
      <c r="D21" s="10" t="s">
        <v>137</v>
      </c>
      <c r="E21" s="9" t="s">
        <v>138</v>
      </c>
      <c r="F21" s="9" t="s">
        <v>139</v>
      </c>
      <c r="G21" s="9" t="s">
        <v>140</v>
      </c>
      <c r="H21" s="11" t="s">
        <v>44</v>
      </c>
      <c r="I21" s="6"/>
      <c r="J21" s="6"/>
      <c r="K21" s="6"/>
    </row>
    <row r="22" customFormat="false" ht="111.75" hidden="false" customHeight="true" outlineLevel="0" collapsed="false">
      <c r="A22" s="9" t="n">
        <v>21</v>
      </c>
      <c r="B22" s="9" t="s">
        <v>141</v>
      </c>
      <c r="C22" s="9" t="s">
        <v>39</v>
      </c>
      <c r="D22" s="10" t="s">
        <v>142</v>
      </c>
      <c r="E22" s="9" t="s">
        <v>143</v>
      </c>
      <c r="F22" s="9" t="s">
        <v>144</v>
      </c>
      <c r="G22" s="9" t="s">
        <v>145</v>
      </c>
      <c r="H22" s="11" t="s">
        <v>44</v>
      </c>
      <c r="I22" s="6"/>
      <c r="J22" s="6"/>
      <c r="K22" s="6"/>
    </row>
    <row r="23" customFormat="false" ht="99" hidden="false" customHeight="true" outlineLevel="0" collapsed="false">
      <c r="A23" s="9" t="n">
        <v>22</v>
      </c>
      <c r="B23" s="9" t="s">
        <v>146</v>
      </c>
      <c r="C23" s="9" t="s">
        <v>39</v>
      </c>
      <c r="D23" s="10" t="s">
        <v>147</v>
      </c>
      <c r="E23" s="9" t="s">
        <v>148</v>
      </c>
      <c r="F23" s="9" t="s">
        <v>149</v>
      </c>
      <c r="G23" s="9" t="s">
        <v>150</v>
      </c>
      <c r="H23" s="11" t="s">
        <v>44</v>
      </c>
      <c r="I23" s="6"/>
      <c r="J23" s="6"/>
      <c r="K23" s="6"/>
    </row>
    <row r="24" customFormat="false" ht="111.75" hidden="false" customHeight="true" outlineLevel="0" collapsed="false">
      <c r="A24" s="9" t="n">
        <v>23</v>
      </c>
      <c r="B24" s="9" t="s">
        <v>151</v>
      </c>
      <c r="C24" s="9" t="s">
        <v>39</v>
      </c>
      <c r="D24" s="10" t="s">
        <v>152</v>
      </c>
      <c r="E24" s="9" t="s">
        <v>153</v>
      </c>
      <c r="F24" s="9" t="s">
        <v>154</v>
      </c>
      <c r="G24" s="9" t="s">
        <v>155</v>
      </c>
      <c r="H24" s="11" t="s">
        <v>44</v>
      </c>
      <c r="I24" s="6"/>
      <c r="J24" s="6"/>
      <c r="K24" s="6"/>
    </row>
    <row r="25" customFormat="false" ht="111.75" hidden="false" customHeight="true" outlineLevel="0" collapsed="false">
      <c r="A25" s="9" t="n">
        <v>24</v>
      </c>
      <c r="B25" s="9" t="s">
        <v>156</v>
      </c>
      <c r="C25" s="9" t="s">
        <v>39</v>
      </c>
      <c r="D25" s="10" t="s">
        <v>157</v>
      </c>
      <c r="E25" s="9" t="s">
        <v>158</v>
      </c>
      <c r="F25" s="9" t="s">
        <v>159</v>
      </c>
      <c r="G25" s="9" t="s">
        <v>160</v>
      </c>
      <c r="H25" s="11" t="s">
        <v>44</v>
      </c>
      <c r="I25" s="6"/>
      <c r="J25" s="6"/>
      <c r="K25" s="6"/>
    </row>
    <row r="26" customFormat="false" ht="60" hidden="false" customHeight="true" outlineLevel="0" collapsed="false">
      <c r="A26" s="9" t="n">
        <v>25</v>
      </c>
      <c r="B26" s="9" t="s">
        <v>161</v>
      </c>
      <c r="C26" s="9" t="s">
        <v>162</v>
      </c>
      <c r="D26" s="10" t="s">
        <v>163</v>
      </c>
      <c r="E26" s="9" t="s">
        <v>164</v>
      </c>
      <c r="F26" s="9" t="s">
        <v>165</v>
      </c>
      <c r="G26" s="9" t="s">
        <v>166</v>
      </c>
      <c r="H26" s="11" t="s">
        <v>44</v>
      </c>
      <c r="I26" s="6"/>
      <c r="J26" s="6"/>
      <c r="K26" s="6"/>
    </row>
  </sheetData>
  <autoFilter ref="A1:K26"/>
  <dataValidations count="1">
    <dataValidation allowBlank="true" error="Pick one of: Correct, Partly correct, Wrong, Cannot judge" errorStyle="stop" errorTitle="Verdict" operator="between" showDropDown="false" showErrorMessage="true" showInputMessage="false" sqref="I2:I26" type="list">
      <formula1>"Correct,Partly correct,Wrong,Cannot judge"</formula1>
      <formula2>0</formula2>
    </dataValidation>
  </dataValidations>
  <hyperlinks>
    <hyperlink ref="H2" r:id="rId2" display="Open treatment"/>
    <hyperlink ref="H3" r:id="rId3" display="Open treatment"/>
    <hyperlink ref="H4" r:id="rId4" display="Open treatment"/>
    <hyperlink ref="H5" r:id="rId5" display="Open treatment"/>
    <hyperlink ref="H6" r:id="rId6" display="Open treatment"/>
    <hyperlink ref="H7" r:id="rId7" display="Open treatment"/>
    <hyperlink ref="H8" r:id="rId8" display="Open treatment"/>
    <hyperlink ref="H9" r:id="rId9" display="Open treatment"/>
    <hyperlink ref="H10" r:id="rId10" display="Open treatment"/>
    <hyperlink ref="H11" r:id="rId11" display="Open treatment"/>
    <hyperlink ref="H12" r:id="rId12" display="Open treatment"/>
    <hyperlink ref="H13" r:id="rId13" display="Open treatment"/>
    <hyperlink ref="H14" r:id="rId14" display="Open treatment"/>
    <hyperlink ref="H15" r:id="rId15" display="Open treatment"/>
    <hyperlink ref="H16" r:id="rId16" display="Open treatment"/>
    <hyperlink ref="H17" r:id="rId17" display="Open treatment"/>
    <hyperlink ref="H18" r:id="rId18" display="Open treatment"/>
    <hyperlink ref="H19" r:id="rId19" display="Open treatment"/>
    <hyperlink ref="H20" r:id="rId20" display="Open treatment"/>
    <hyperlink ref="H21" r:id="rId21" display="Open treatment"/>
    <hyperlink ref="H22" r:id="rId22" display="Open treatment"/>
    <hyperlink ref="H23" r:id="rId23" display="Open treatment"/>
    <hyperlink ref="H24" r:id="rId24" display="Open treatment"/>
    <hyperlink ref="H25" r:id="rId25" display="Open treatment"/>
    <hyperlink ref="H26" r:id="rId26" display="Open treatment"/>
  </hyperlink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27"/>
  <legacyDrawing r:id="rId28"/>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F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0"/>
    <col collapsed="false" customWidth="true" hidden="false" outlineLevel="0" max="6" min="3" style="0" width="15"/>
  </cols>
  <sheetData>
    <row r="2" customFormat="false" ht="17.35" hidden="false" customHeight="false" outlineLevel="0" collapsed="false">
      <c r="B2" s="1" t="s">
        <v>167</v>
      </c>
    </row>
    <row r="4" customFormat="false" ht="15" hidden="false" customHeight="false" outlineLevel="0" collapsed="false">
      <c r="B4" s="12" t="s">
        <v>26</v>
      </c>
      <c r="C4" s="13" t="s">
        <v>168</v>
      </c>
      <c r="D4" s="13" t="s">
        <v>46</v>
      </c>
      <c r="E4" s="13" t="s">
        <v>39</v>
      </c>
      <c r="F4" s="13" t="s">
        <v>162</v>
      </c>
    </row>
    <row r="5" customFormat="false" ht="15" hidden="false" customHeight="false" outlineLevel="0" collapsed="false">
      <c r="B5" s="14" t="s">
        <v>169</v>
      </c>
      <c r="C5" s="15" t="n">
        <f aca="false">ROWS('Spot-check'!$I$2:$I$26)</f>
        <v>25</v>
      </c>
      <c r="D5" s="15" t="n">
        <f aca="false">COUNTIF('Spot-check'!$C$2:$C$26,"Body size")</f>
        <v>12</v>
      </c>
      <c r="E5" s="15" t="n">
        <f aca="false">COUNTIF('Spot-check'!$C$2:$C$26,"Habitat")</f>
        <v>12</v>
      </c>
      <c r="F5" s="15" t="n">
        <f aca="false">COUNTIF('Spot-check'!$C$2:$C$26,"Trophic guild")</f>
        <v>1</v>
      </c>
    </row>
    <row r="6" customFormat="false" ht="15" hidden="false" customHeight="false" outlineLevel="0" collapsed="false">
      <c r="B6" s="15" t="s">
        <v>9</v>
      </c>
      <c r="C6" s="15" t="n">
        <f aca="false">COUNTIFS('Spot-check'!$I$2:$I$26,"Correct")</f>
        <v>0</v>
      </c>
      <c r="D6" s="15" t="n">
        <f aca="false">COUNTIFS('Spot-check'!$I$2:$I$26,"Correct",'Spot-check'!$C$2:$C$26,"Body size")</f>
        <v>0</v>
      </c>
      <c r="E6" s="15" t="n">
        <f aca="false">COUNTIFS('Spot-check'!$I$2:$I$26,"Correct",'Spot-check'!$C$2:$C$26,"Habitat")</f>
        <v>0</v>
      </c>
      <c r="F6" s="15" t="n">
        <f aca="false">COUNTIFS('Spot-check'!$I$2:$I$26,"Correct",'Spot-check'!$C$2:$C$26,"Trophic guild")</f>
        <v>0</v>
      </c>
    </row>
    <row r="7" customFormat="false" ht="15" hidden="false" customHeight="false" outlineLevel="0" collapsed="false">
      <c r="B7" s="15" t="s">
        <v>11</v>
      </c>
      <c r="C7" s="15" t="n">
        <f aca="false">COUNTIFS('Spot-check'!$I$2:$I$26,"Partly correct")</f>
        <v>0</v>
      </c>
      <c r="D7" s="15" t="n">
        <f aca="false">COUNTIFS('Spot-check'!$I$2:$I$26,"Partly correct",'Spot-check'!$C$2:$C$26,"Body size")</f>
        <v>0</v>
      </c>
      <c r="E7" s="15" t="n">
        <f aca="false">COUNTIFS('Spot-check'!$I$2:$I$26,"Partly correct",'Spot-check'!$C$2:$C$26,"Habitat")</f>
        <v>0</v>
      </c>
      <c r="F7" s="15" t="n">
        <f aca="false">COUNTIFS('Spot-check'!$I$2:$I$26,"Partly correct",'Spot-check'!$C$2:$C$26,"Trophic guild")</f>
        <v>0</v>
      </c>
    </row>
    <row r="8" customFormat="false" ht="15" hidden="false" customHeight="false" outlineLevel="0" collapsed="false">
      <c r="B8" s="15" t="s">
        <v>13</v>
      </c>
      <c r="C8" s="15" t="n">
        <f aca="false">COUNTIFS('Spot-check'!$I$2:$I$26,"Wrong")</f>
        <v>0</v>
      </c>
      <c r="D8" s="15" t="n">
        <f aca="false">COUNTIFS('Spot-check'!$I$2:$I$26,"Wrong",'Spot-check'!$C$2:$C$26,"Body size")</f>
        <v>0</v>
      </c>
      <c r="E8" s="15" t="n">
        <f aca="false">COUNTIFS('Spot-check'!$I$2:$I$26,"Wrong",'Spot-check'!$C$2:$C$26,"Habitat")</f>
        <v>0</v>
      </c>
      <c r="F8" s="15" t="n">
        <f aca="false">COUNTIFS('Spot-check'!$I$2:$I$26,"Wrong",'Spot-check'!$C$2:$C$26,"Trophic guild")</f>
        <v>0</v>
      </c>
    </row>
    <row r="9" customFormat="false" ht="15" hidden="false" customHeight="false" outlineLevel="0" collapsed="false">
      <c r="B9" s="15" t="s">
        <v>15</v>
      </c>
      <c r="C9" s="15" t="n">
        <f aca="false">COUNTIFS('Spot-check'!$I$2:$I$26,"Cannot judge")</f>
        <v>0</v>
      </c>
      <c r="D9" s="15" t="n">
        <f aca="false">COUNTIFS('Spot-check'!$I$2:$I$26,"Cannot judge",'Spot-check'!$C$2:$C$26,"Body size")</f>
        <v>0</v>
      </c>
      <c r="E9" s="15" t="n">
        <f aca="false">COUNTIFS('Spot-check'!$I$2:$I$26,"Cannot judge",'Spot-check'!$C$2:$C$26,"Habitat")</f>
        <v>0</v>
      </c>
      <c r="F9" s="15" t="n">
        <f aca="false">COUNTIFS('Spot-check'!$I$2:$I$26,"Cannot judge",'Spot-check'!$C$2:$C$26,"Trophic guild")</f>
        <v>0</v>
      </c>
    </row>
    <row r="10" customFormat="false" ht="15" hidden="false" customHeight="false" outlineLevel="0" collapsed="false">
      <c r="B10" s="15" t="s">
        <v>170</v>
      </c>
      <c r="C10" s="15" t="n">
        <f aca="false">C5-C6-C7-C8-C9</f>
        <v>25</v>
      </c>
      <c r="D10" s="15" t="n">
        <f aca="false">D5-D6-D7-D8-D9</f>
        <v>12</v>
      </c>
      <c r="E10" s="15" t="n">
        <f aca="false">E5-E6-E7-E8-E9</f>
        <v>12</v>
      </c>
      <c r="F10" s="15" t="n">
        <f aca="false">F5-F6-F7-F8-F9</f>
        <v>1</v>
      </c>
    </row>
    <row r="11" customFormat="false" ht="15" hidden="false" customHeight="false" outlineLevel="0" collapsed="false">
      <c r="B11" s="14" t="s">
        <v>171</v>
      </c>
      <c r="C11" s="16" t="str">
        <f aca="false">IFERROR(C6/(C6+C7+C8),"-")</f>
        <v>-</v>
      </c>
      <c r="D11" s="16" t="str">
        <f aca="false">IFERROR(D6/(D6+D7+D8),"-")</f>
        <v>-</v>
      </c>
      <c r="E11" s="16" t="str">
        <f aca="false">IFERROR(E6/(E6+E7+E8),"-")</f>
        <v>-</v>
      </c>
      <c r="F11" s="16" t="str">
        <f aca="false">IFERROR(F6/(F6+F7+F8),"-")</f>
        <v>-</v>
      </c>
    </row>
    <row r="12" customFormat="false" ht="15" hidden="false" customHeight="false" outlineLevel="0" collapsed="false">
      <c r="B12" s="14" t="s">
        <v>172</v>
      </c>
      <c r="C12" s="16" t="str">
        <f aca="false">IFERROR((C6+C7)/(C6+C7+C8),"-")</f>
        <v>-</v>
      </c>
      <c r="D12" s="16" t="str">
        <f aca="false">IFERROR((D6+D7)/(D6+D7+D8),"-")</f>
        <v>-</v>
      </c>
      <c r="E12" s="16" t="str">
        <f aca="false">IFERROR((E6+E7)/(E6+E7+E8),"-")</f>
        <v>-</v>
      </c>
      <c r="F12" s="16" t="str">
        <f aca="false">IFERROR((F6+F7)/(F6+F7+F8),"-")</f>
        <v>-</v>
      </c>
    </row>
    <row r="14" customFormat="false" ht="15" hidden="false" customHeight="false" outlineLevel="0" collapsed="false">
      <c r="B14" s="17" t="s">
        <v>173</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2026-09-28T20:15:51Z</dcterms:created>
  <dc:creator>openpyxl</dc:creator>
  <dc:description/>
  <dc:language>en-US</dc:language>
  <cp:lastModifiedBy/>
  <dcterms:modified xsi:type="dcterms:W3CDTF">2026-09-28T20:15:51Z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